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Limpio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<sst xmlns="http://schemas.openxmlformats.org/spreadsheetml/2006/main" count="305" uniqueCount="35">
  <si>
    <t xml:space="preserve">Fecha</t>
  </si>
  <si>
    <t xml:space="preserve">Cliente</t>
  </si>
  <si>
    <t xml:space="preserve">Producto</t>
  </si>
  <si>
    <t xml:space="preserve">Cantidad</t>
  </si>
  <si>
    <t xml:space="preserve">Precio Unitario</t>
  </si>
  <si>
    <t xml:space="preserve">Total</t>
  </si>
  <si>
    <t xml:space="preserve">Ana Belen Torres</t>
  </si>
  <si>
    <t xml:space="preserve">Protector Solar Spf50</t>
  </si>
  <si>
    <t xml:space="preserve">Sofia Castillo</t>
  </si>
  <si>
    <t xml:space="preserve">Crema Hidratante Facial</t>
  </si>
  <si>
    <t xml:space="preserve">Delineador Liquido Negro</t>
  </si>
  <si>
    <t xml:space="preserve">Carla Ximena Ruiz</t>
  </si>
  <si>
    <t xml:space="preserve">Camila Andrade</t>
  </si>
  <si>
    <t xml:space="preserve">Serum Vitamina C</t>
  </si>
  <si>
    <t xml:space="preserve">Mascarilla De Arcilla</t>
  </si>
  <si>
    <t xml:space="preserve">Valentina Ponce</t>
  </si>
  <si>
    <t xml:space="preserve">Base Liquida Natural</t>
  </si>
  <si>
    <t xml:space="preserve">Maria Fernanda Lopez</t>
  </si>
  <si>
    <t xml:space="preserve">Rubor En Polvo</t>
  </si>
  <si>
    <t xml:space="preserve">Isabella Moreno</t>
  </si>
  <si>
    <t xml:space="preserve">Labial Mate Rojo</t>
  </si>
  <si>
    <t xml:space="preserve">Maria F. Lopez</t>
  </si>
  <si>
    <t xml:space="preserve">Carla X. Ruiz</t>
  </si>
  <si>
    <t xml:space="preserve">Daniela Paz</t>
  </si>
  <si>
    <t xml:space="preserve">Gabriela Ortiz</t>
  </si>
  <si>
    <t xml:space="preserve">Reporte de Ventas — Resumen Automático</t>
  </si>
  <si>
    <t xml:space="preserve">Métrica</t>
  </si>
  <si>
    <t xml:space="preserve">Valor</t>
  </si>
  <si>
    <t xml:space="preserve">Ventas totales</t>
  </si>
  <si>
    <t xml:space="preserve">Número de ventas</t>
  </si>
  <si>
    <t xml:space="preserve">Ticket promedio</t>
  </si>
  <si>
    <t xml:space="preserve">Unidades vendidas</t>
  </si>
  <si>
    <t xml:space="preserve">Total Vendido</t>
  </si>
  <si>
    <t xml:space="preserve">Unidades</t>
  </si>
  <si>
    <t xml:space="preserve">Producto más vendido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</si>
</sst>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$#,##0.00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4A254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2545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25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Resumen!B9</c:f>
              <c:strCache>
                <c:ptCount val="1"/>
                <c:pt idx="0">
                  <c:v>Total Vendido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Resumen!$A$10:$A$17</c:f>
              <c:strCache>
                <c:ptCount val="8"/>
                <c:pt idx="0">
                  <c:v>Base Liquida Natural</c:v>
                </c:pt>
                <c:pt idx="1">
                  <c:v>Crema Hidratante Facial</c:v>
                </c:pt>
                <c:pt idx="2">
                  <c:v>Delineador Liquido Negro</c:v>
                </c:pt>
                <c:pt idx="3">
                  <c:v>Labial Mate Rojo</c:v>
                </c:pt>
                <c:pt idx="4">
                  <c:v>Mascarilla De Arcilla</c:v>
                </c:pt>
                <c:pt idx="5">
                  <c:v>Protector Solar Spf50</c:v>
                </c:pt>
                <c:pt idx="6">
                  <c:v>Rubor En Polvo</c:v>
                </c:pt>
                <c:pt idx="7">
                  <c:v>Serum Vitamina C</c:v>
                </c:pt>
              </c:strCache>
            </c:strRef>
          </c:cat>
          <c:val>
            <c:numRef>
              <c:f>Resumen!$B$10:$B$17</c:f>
              <c:numCache>
                <c:formatCode>\$#,##0.00</c:formatCode>
                <c:ptCount val="8"/>
                <c:pt idx="0">
                  <c:v>692.51</c:v>
                </c:pt>
                <c:pt idx="1">
                  <c:v>849.25</c:v>
                </c:pt>
                <c:pt idx="2">
                  <c:v>144</c:v>
                </c:pt>
                <c:pt idx="3">
                  <c:v>255.24</c:v>
                </c:pt>
                <c:pt idx="4">
                  <c:v>220.21</c:v>
                </c:pt>
                <c:pt idx="5">
                  <c:v>299.85</c:v>
                </c:pt>
                <c:pt idx="6">
                  <c:v>179.56</c:v>
                </c:pt>
                <c:pt idx="7">
                  <c:v>938.89</c:v>
                </c:pt>
              </c:numCache>
            </c:numRef>
          </c:val>
        </c:ser>
        <c:gapWidth val="150"/>
        <c:overlap val="0"/>
        <c:axId val="47042591"/>
        <c:axId val="36583444"/>
      </c:barChart>
      <c:catAx>
        <c:axId val="470425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83444"/>
        <c:crosses val="autoZero"/>
        <c:auto val="1"/>
        <c:lblAlgn val="ctr"/>
        <c:lblOffset val="100"/>
        <c:noMultiLvlLbl val="0"/>
      </c:catAx>
      <c:valAx>
        <c:axId val="365834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425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7</xdr:row>
      <xdr:rowOff>160560</xdr:rowOff>
    </xdr:from>
    <xdr:to>
      <xdr:col>14</xdr:col>
      <xdr:colOff>364680</xdr:colOff>
      <xdr:row>26</xdr:row>
      <xdr:rowOff>140760</xdr:rowOff>
    </xdr:to>
    <xdr:graphicFrame>
      <xdr:nvGraphicFramePr>
        <xdr:cNvPr id="0" name="Chart 1"/>
        <xdr:cNvGraphicFramePr/>
      </xdr:nvGraphicFramePr>
      <xdr:xfrm>
        <a:off x="4558680" y="1523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46174</v>
      </c>
      <c r="B2" s="3" t="s">
        <v>6</v>
      </c>
      <c r="C2" s="3" t="s">
        <v>7</v>
      </c>
      <c r="D2" s="3" t="n">
        <v>1</v>
      </c>
      <c r="E2" s="4" t="n">
        <v>19.99</v>
      </c>
      <c r="F2" s="4" t="n">
        <v>19.99</v>
      </c>
    </row>
    <row r="3" customFormat="false" ht="15" hidden="false" customHeight="false" outlineLevel="0" collapsed="false">
      <c r="A3" s="2" t="n">
        <v>46174</v>
      </c>
      <c r="B3" s="3" t="s">
        <v>8</v>
      </c>
      <c r="C3" s="3" t="s">
        <v>9</v>
      </c>
      <c r="D3" s="3" t="n">
        <v>1</v>
      </c>
      <c r="E3" s="4" t="n">
        <v>22</v>
      </c>
      <c r="F3" s="4" t="n">
        <v>22</v>
      </c>
    </row>
    <row r="4" customFormat="false" ht="15" hidden="false" customHeight="false" outlineLevel="0" collapsed="false">
      <c r="A4" s="2" t="n">
        <v>46174</v>
      </c>
      <c r="B4" s="3" t="s">
        <v>6</v>
      </c>
      <c r="C4" s="3" t="s">
        <v>10</v>
      </c>
      <c r="D4" s="3" t="n">
        <v>1</v>
      </c>
      <c r="E4" s="4" t="n">
        <v>7.5</v>
      </c>
      <c r="F4" s="4" t="n">
        <v>7.5</v>
      </c>
    </row>
    <row r="5" customFormat="false" ht="15" hidden="false" customHeight="false" outlineLevel="0" collapsed="false">
      <c r="A5" s="2" t="n">
        <v>46174</v>
      </c>
      <c r="B5" s="3" t="s">
        <v>6</v>
      </c>
      <c r="C5" s="3" t="s">
        <v>10</v>
      </c>
      <c r="D5" s="3" t="n">
        <v>3</v>
      </c>
      <c r="E5" s="4" t="n">
        <v>7.5</v>
      </c>
      <c r="F5" s="4" t="n">
        <v>22.5</v>
      </c>
    </row>
    <row r="6" customFormat="false" ht="15" hidden="false" customHeight="false" outlineLevel="0" collapsed="false">
      <c r="A6" s="2" t="n">
        <v>46175</v>
      </c>
      <c r="B6" s="3" t="s">
        <v>11</v>
      </c>
      <c r="C6" s="3" t="s">
        <v>10</v>
      </c>
      <c r="D6" s="3" t="n">
        <v>1</v>
      </c>
      <c r="E6" s="4" t="n">
        <v>7.5</v>
      </c>
      <c r="F6" s="4" t="n">
        <v>7.5</v>
      </c>
    </row>
    <row r="7" customFormat="false" ht="15" hidden="false" customHeight="false" outlineLevel="0" collapsed="false">
      <c r="A7" s="2" t="n">
        <v>46175</v>
      </c>
      <c r="B7" s="3" t="s">
        <v>12</v>
      </c>
      <c r="C7" s="3" t="s">
        <v>13</v>
      </c>
      <c r="D7" s="3" t="n">
        <v>1</v>
      </c>
      <c r="E7" s="4" t="n">
        <v>18.5</v>
      </c>
      <c r="F7" s="4" t="n">
        <v>18.5</v>
      </c>
    </row>
    <row r="8" customFormat="false" ht="15" hidden="false" customHeight="false" outlineLevel="0" collapsed="false">
      <c r="A8" s="2" t="n">
        <v>46177</v>
      </c>
      <c r="B8" s="3" t="s">
        <v>12</v>
      </c>
      <c r="C8" s="3" t="s">
        <v>9</v>
      </c>
      <c r="D8" s="3" t="n">
        <v>3</v>
      </c>
      <c r="E8" s="4" t="n">
        <v>22</v>
      </c>
      <c r="F8" s="4" t="n">
        <v>66</v>
      </c>
    </row>
    <row r="9" customFormat="false" ht="15" hidden="false" customHeight="false" outlineLevel="0" collapsed="false">
      <c r="A9" s="2" t="n">
        <v>46178</v>
      </c>
      <c r="B9" s="3" t="s">
        <v>11</v>
      </c>
      <c r="C9" s="3" t="s">
        <v>13</v>
      </c>
      <c r="D9" s="3" t="n">
        <v>1</v>
      </c>
      <c r="E9" s="4" t="n">
        <v>18.5</v>
      </c>
      <c r="F9" s="4" t="n">
        <v>18.5</v>
      </c>
    </row>
    <row r="10" customFormat="false" ht="15" hidden="false" customHeight="false" outlineLevel="0" collapsed="false">
      <c r="A10" s="2" t="n">
        <v>46179</v>
      </c>
      <c r="B10" s="3" t="s">
        <v>11</v>
      </c>
      <c r="C10" s="3" t="s">
        <v>9</v>
      </c>
      <c r="D10" s="3" t="n">
        <v>1</v>
      </c>
      <c r="E10" s="4" t="n">
        <v>18.94</v>
      </c>
      <c r="F10" s="4" t="n">
        <v>18.94</v>
      </c>
    </row>
    <row r="11" customFormat="false" ht="15" hidden="false" customHeight="false" outlineLevel="0" collapsed="false">
      <c r="A11" s="2" t="n">
        <v>46179</v>
      </c>
      <c r="B11" s="3" t="s">
        <v>6</v>
      </c>
      <c r="C11" s="3" t="s">
        <v>13</v>
      </c>
      <c r="D11" s="3" t="n">
        <v>3</v>
      </c>
      <c r="E11" s="4" t="n">
        <v>18.5</v>
      </c>
      <c r="F11" s="4" t="n">
        <v>55.5</v>
      </c>
    </row>
    <row r="12" customFormat="false" ht="15" hidden="false" customHeight="false" outlineLevel="0" collapsed="false">
      <c r="A12" s="2" t="n">
        <v>46180</v>
      </c>
      <c r="B12" s="3" t="s">
        <v>6</v>
      </c>
      <c r="C12" s="3" t="s">
        <v>14</v>
      </c>
      <c r="D12" s="3" t="n">
        <v>1</v>
      </c>
      <c r="E12" s="4" t="n">
        <v>12.3</v>
      </c>
      <c r="F12" s="4" t="n">
        <v>12.3</v>
      </c>
    </row>
    <row r="13" customFormat="false" ht="15" hidden="false" customHeight="false" outlineLevel="0" collapsed="false">
      <c r="A13" s="2" t="n">
        <v>46180</v>
      </c>
      <c r="B13" s="3" t="s">
        <v>15</v>
      </c>
      <c r="C13" s="3" t="s">
        <v>16</v>
      </c>
      <c r="D13" s="3" t="n">
        <v>1</v>
      </c>
      <c r="E13" s="4" t="n">
        <v>24.9</v>
      </c>
      <c r="F13" s="4" t="n">
        <v>24.9</v>
      </c>
    </row>
    <row r="14" customFormat="false" ht="15" hidden="false" customHeight="false" outlineLevel="0" collapsed="false">
      <c r="A14" s="2" t="n">
        <v>46181</v>
      </c>
      <c r="B14" s="3" t="s">
        <v>17</v>
      </c>
      <c r="C14" s="3" t="s">
        <v>18</v>
      </c>
      <c r="D14" s="3" t="n">
        <v>1</v>
      </c>
      <c r="E14" s="4" t="n">
        <v>11.2</v>
      </c>
      <c r="F14" s="4" t="n">
        <v>11.2</v>
      </c>
    </row>
    <row r="15" customFormat="false" ht="15" hidden="false" customHeight="false" outlineLevel="0" collapsed="false">
      <c r="A15" s="2" t="n">
        <v>46181</v>
      </c>
      <c r="B15" s="3" t="s">
        <v>6</v>
      </c>
      <c r="C15" s="3" t="s">
        <v>13</v>
      </c>
      <c r="D15" s="3" t="n">
        <v>1</v>
      </c>
      <c r="E15" s="4" t="n">
        <v>18.5</v>
      </c>
      <c r="F15" s="4" t="n">
        <v>18.5</v>
      </c>
    </row>
    <row r="16" customFormat="false" ht="15" hidden="false" customHeight="false" outlineLevel="0" collapsed="false">
      <c r="A16" s="2" t="n">
        <v>46183</v>
      </c>
      <c r="B16" s="3" t="s">
        <v>19</v>
      </c>
      <c r="C16" s="3" t="s">
        <v>20</v>
      </c>
      <c r="D16" s="3" t="n">
        <v>2</v>
      </c>
      <c r="E16" s="4" t="n">
        <v>9.75</v>
      </c>
      <c r="F16" s="4" t="n">
        <v>19.5</v>
      </c>
    </row>
    <row r="17" customFormat="false" ht="15" hidden="false" customHeight="false" outlineLevel="0" collapsed="false">
      <c r="A17" s="2" t="n">
        <v>46183</v>
      </c>
      <c r="B17" s="3" t="s">
        <v>15</v>
      </c>
      <c r="C17" s="3" t="s">
        <v>10</v>
      </c>
      <c r="D17" s="3" t="n">
        <v>1</v>
      </c>
      <c r="E17" s="4" t="n">
        <v>9</v>
      </c>
      <c r="F17" s="4" t="n">
        <v>9</v>
      </c>
    </row>
    <row r="18" customFormat="false" ht="15" hidden="false" customHeight="false" outlineLevel="0" collapsed="false">
      <c r="A18" s="2" t="n">
        <v>46184</v>
      </c>
      <c r="B18" s="3" t="s">
        <v>11</v>
      </c>
      <c r="C18" s="3" t="s">
        <v>13</v>
      </c>
      <c r="D18" s="3" t="n">
        <v>2</v>
      </c>
      <c r="E18" s="4" t="n">
        <v>18.5</v>
      </c>
      <c r="F18" s="4" t="n">
        <v>37</v>
      </c>
    </row>
    <row r="19" customFormat="false" ht="15" hidden="false" customHeight="false" outlineLevel="0" collapsed="false">
      <c r="A19" s="2" t="n">
        <v>46185</v>
      </c>
      <c r="B19" s="3" t="s">
        <v>11</v>
      </c>
      <c r="C19" s="3" t="s">
        <v>16</v>
      </c>
      <c r="D19" s="3" t="n">
        <v>1</v>
      </c>
      <c r="E19" s="4" t="n">
        <v>24.9</v>
      </c>
      <c r="F19" s="4" t="n">
        <v>24.9</v>
      </c>
    </row>
    <row r="20" customFormat="false" ht="15" hidden="false" customHeight="false" outlineLevel="0" collapsed="false">
      <c r="A20" s="2" t="n">
        <v>46186</v>
      </c>
      <c r="B20" s="3" t="s">
        <v>12</v>
      </c>
      <c r="C20" s="3" t="s">
        <v>20</v>
      </c>
      <c r="D20" s="3" t="n">
        <v>1</v>
      </c>
      <c r="E20" s="4" t="n">
        <v>9.75</v>
      </c>
      <c r="F20" s="4" t="n">
        <v>9.75</v>
      </c>
    </row>
    <row r="21" customFormat="false" ht="15" hidden="false" customHeight="false" outlineLevel="0" collapsed="false">
      <c r="A21" s="2" t="n">
        <v>46187</v>
      </c>
      <c r="B21" s="3" t="s">
        <v>15</v>
      </c>
      <c r="C21" s="3" t="s">
        <v>7</v>
      </c>
      <c r="D21" s="3" t="n">
        <v>1</v>
      </c>
      <c r="E21" s="4" t="n">
        <v>19.99</v>
      </c>
      <c r="F21" s="4" t="n">
        <v>19.99</v>
      </c>
    </row>
    <row r="22" customFormat="false" ht="15" hidden="false" customHeight="false" outlineLevel="0" collapsed="false">
      <c r="A22" s="2" t="n">
        <v>46187</v>
      </c>
      <c r="B22" s="3" t="s">
        <v>11</v>
      </c>
      <c r="C22" s="3" t="s">
        <v>9</v>
      </c>
      <c r="D22" s="3" t="n">
        <v>2</v>
      </c>
      <c r="E22" s="4" t="n">
        <v>22</v>
      </c>
      <c r="F22" s="4" t="n">
        <v>44</v>
      </c>
    </row>
    <row r="23" customFormat="false" ht="15" hidden="false" customHeight="false" outlineLevel="0" collapsed="false">
      <c r="A23" s="2" t="n">
        <v>46187</v>
      </c>
      <c r="B23" s="3" t="s">
        <v>21</v>
      </c>
      <c r="C23" s="3" t="s">
        <v>9</v>
      </c>
      <c r="D23" s="3" t="n">
        <v>1</v>
      </c>
      <c r="E23" s="4" t="n">
        <v>22</v>
      </c>
      <c r="F23" s="4" t="n">
        <v>22</v>
      </c>
    </row>
    <row r="24" customFormat="false" ht="15" hidden="false" customHeight="false" outlineLevel="0" collapsed="false">
      <c r="A24" s="2" t="n">
        <v>46188</v>
      </c>
      <c r="B24" s="3" t="s">
        <v>22</v>
      </c>
      <c r="C24" s="3" t="s">
        <v>13</v>
      </c>
      <c r="D24" s="3" t="n">
        <v>1</v>
      </c>
      <c r="E24" s="4" t="n">
        <v>19.21</v>
      </c>
      <c r="F24" s="4" t="n">
        <v>19.21</v>
      </c>
    </row>
    <row r="25" customFormat="false" ht="15" hidden="false" customHeight="false" outlineLevel="0" collapsed="false">
      <c r="A25" s="2" t="n">
        <v>46188</v>
      </c>
      <c r="B25" s="3" t="s">
        <v>21</v>
      </c>
      <c r="C25" s="3" t="s">
        <v>9</v>
      </c>
      <c r="D25" s="3" t="n">
        <v>2</v>
      </c>
      <c r="E25" s="4" t="n">
        <v>20.35</v>
      </c>
      <c r="F25" s="4" t="n">
        <v>40.7</v>
      </c>
    </row>
    <row r="26" customFormat="false" ht="15" hidden="false" customHeight="false" outlineLevel="0" collapsed="false">
      <c r="A26" s="2" t="n">
        <v>46188</v>
      </c>
      <c r="B26" s="3" t="s">
        <v>23</v>
      </c>
      <c r="C26" s="3" t="s">
        <v>7</v>
      </c>
      <c r="D26" s="3" t="n">
        <v>1</v>
      </c>
      <c r="E26" s="4" t="n">
        <v>19.99</v>
      </c>
      <c r="F26" s="4" t="n">
        <v>19.99</v>
      </c>
    </row>
    <row r="27" customFormat="false" ht="15" hidden="false" customHeight="false" outlineLevel="0" collapsed="false">
      <c r="A27" s="2" t="n">
        <v>46188</v>
      </c>
      <c r="B27" s="3" t="s">
        <v>6</v>
      </c>
      <c r="C27" s="3" t="s">
        <v>20</v>
      </c>
      <c r="D27" s="3" t="n">
        <v>2</v>
      </c>
      <c r="E27" s="4" t="n">
        <v>10.62</v>
      </c>
      <c r="F27" s="4" t="n">
        <v>21.24</v>
      </c>
    </row>
    <row r="28" customFormat="false" ht="15" hidden="false" customHeight="false" outlineLevel="0" collapsed="false">
      <c r="A28" s="2" t="n">
        <v>46188</v>
      </c>
      <c r="B28" s="3" t="s">
        <v>23</v>
      </c>
      <c r="C28" s="3" t="s">
        <v>16</v>
      </c>
      <c r="D28" s="3" t="n">
        <v>1</v>
      </c>
      <c r="E28" s="4" t="n">
        <v>24.9</v>
      </c>
      <c r="F28" s="4" t="n">
        <v>24.9</v>
      </c>
    </row>
    <row r="29" customFormat="false" ht="15" hidden="false" customHeight="false" outlineLevel="0" collapsed="false">
      <c r="A29" s="2" t="n">
        <v>46189</v>
      </c>
      <c r="B29" s="3" t="s">
        <v>15</v>
      </c>
      <c r="C29" s="3" t="s">
        <v>13</v>
      </c>
      <c r="D29" s="3" t="n">
        <v>1</v>
      </c>
      <c r="E29" s="4" t="n">
        <v>18.5</v>
      </c>
      <c r="F29" s="4" t="n">
        <v>18.5</v>
      </c>
    </row>
    <row r="30" customFormat="false" ht="15" hidden="false" customHeight="false" outlineLevel="0" collapsed="false">
      <c r="A30" s="2" t="n">
        <v>46189</v>
      </c>
      <c r="B30" s="3" t="s">
        <v>17</v>
      </c>
      <c r="C30" s="3" t="s">
        <v>10</v>
      </c>
      <c r="D30" s="3" t="n">
        <v>1</v>
      </c>
      <c r="E30" s="4" t="n">
        <v>7.5</v>
      </c>
      <c r="F30" s="4" t="n">
        <v>7.5</v>
      </c>
    </row>
    <row r="31" customFormat="false" ht="15" hidden="false" customHeight="false" outlineLevel="0" collapsed="false">
      <c r="A31" s="2" t="n">
        <v>46189</v>
      </c>
      <c r="B31" s="3" t="s">
        <v>8</v>
      </c>
      <c r="C31" s="3" t="s">
        <v>13</v>
      </c>
      <c r="D31" s="3" t="n">
        <v>3</v>
      </c>
      <c r="E31" s="4" t="n">
        <v>18.5</v>
      </c>
      <c r="F31" s="4" t="n">
        <v>55.5</v>
      </c>
    </row>
    <row r="32" customFormat="false" ht="15" hidden="false" customHeight="false" outlineLevel="0" collapsed="false">
      <c r="A32" s="2" t="n">
        <v>46190</v>
      </c>
      <c r="B32" s="3" t="s">
        <v>11</v>
      </c>
      <c r="C32" s="3" t="s">
        <v>13</v>
      </c>
      <c r="D32" s="3" t="n">
        <v>1</v>
      </c>
      <c r="E32" s="4" t="n">
        <v>18.5</v>
      </c>
      <c r="F32" s="4" t="n">
        <v>18.5</v>
      </c>
    </row>
    <row r="33" customFormat="false" ht="15" hidden="false" customHeight="false" outlineLevel="0" collapsed="false">
      <c r="A33" s="2" t="n">
        <v>46190</v>
      </c>
      <c r="B33" s="3" t="s">
        <v>21</v>
      </c>
      <c r="C33" s="3" t="s">
        <v>14</v>
      </c>
      <c r="D33" s="3" t="n">
        <v>2</v>
      </c>
      <c r="E33" s="4" t="n">
        <v>12.3</v>
      </c>
      <c r="F33" s="4" t="n">
        <v>24.6</v>
      </c>
    </row>
    <row r="34" customFormat="false" ht="15" hidden="false" customHeight="false" outlineLevel="0" collapsed="false">
      <c r="A34" s="2" t="n">
        <v>46191</v>
      </c>
      <c r="B34" s="3" t="s">
        <v>21</v>
      </c>
      <c r="C34" s="3" t="s">
        <v>16</v>
      </c>
      <c r="D34" s="3" t="n">
        <v>1</v>
      </c>
      <c r="E34" s="4" t="n">
        <v>21.01</v>
      </c>
      <c r="F34" s="4" t="n">
        <v>21.01</v>
      </c>
    </row>
    <row r="35" customFormat="false" ht="15" hidden="false" customHeight="false" outlineLevel="0" collapsed="false">
      <c r="A35" s="2" t="n">
        <v>46193</v>
      </c>
      <c r="B35" s="3" t="s">
        <v>22</v>
      </c>
      <c r="C35" s="3" t="s">
        <v>9</v>
      </c>
      <c r="D35" s="3" t="n">
        <v>1</v>
      </c>
      <c r="E35" s="4" t="n">
        <v>22</v>
      </c>
      <c r="F35" s="4" t="n">
        <v>22</v>
      </c>
    </row>
    <row r="36" customFormat="false" ht="15" hidden="false" customHeight="false" outlineLevel="0" collapsed="false">
      <c r="A36" s="2" t="n">
        <v>46194</v>
      </c>
      <c r="B36" s="3" t="s">
        <v>6</v>
      </c>
      <c r="C36" s="3" t="s">
        <v>13</v>
      </c>
      <c r="D36" s="3" t="n">
        <v>1</v>
      </c>
      <c r="E36" s="4" t="n">
        <v>18.28</v>
      </c>
      <c r="F36" s="4" t="n">
        <v>18.28</v>
      </c>
    </row>
    <row r="37" customFormat="false" ht="15" hidden="false" customHeight="false" outlineLevel="0" collapsed="false">
      <c r="A37" s="2" t="n">
        <v>46194</v>
      </c>
      <c r="B37" s="3" t="s">
        <v>22</v>
      </c>
      <c r="C37" s="3" t="s">
        <v>20</v>
      </c>
      <c r="D37" s="3" t="n">
        <v>1</v>
      </c>
      <c r="E37" s="4" t="n">
        <v>9.75</v>
      </c>
      <c r="F37" s="4" t="n">
        <v>9.75</v>
      </c>
    </row>
    <row r="38" customFormat="false" ht="15" hidden="false" customHeight="false" outlineLevel="0" collapsed="false">
      <c r="A38" s="2" t="n">
        <v>46194</v>
      </c>
      <c r="B38" s="3" t="s">
        <v>15</v>
      </c>
      <c r="C38" s="3" t="s">
        <v>16</v>
      </c>
      <c r="D38" s="3" t="n">
        <v>3</v>
      </c>
      <c r="E38" s="4" t="n">
        <v>24.9</v>
      </c>
      <c r="F38" s="4" t="n">
        <v>74.7</v>
      </c>
    </row>
    <row r="39" customFormat="false" ht="15" hidden="false" customHeight="false" outlineLevel="0" collapsed="false">
      <c r="A39" s="2" t="n">
        <v>46194</v>
      </c>
      <c r="B39" s="3" t="s">
        <v>15</v>
      </c>
      <c r="C39" s="3" t="s">
        <v>10</v>
      </c>
      <c r="D39" s="3" t="n">
        <v>1</v>
      </c>
      <c r="E39" s="4" t="n">
        <v>7.5</v>
      </c>
      <c r="F39" s="4" t="n">
        <v>7.5</v>
      </c>
    </row>
    <row r="40" customFormat="false" ht="15" hidden="false" customHeight="false" outlineLevel="0" collapsed="false">
      <c r="A40" s="2" t="n">
        <v>46195</v>
      </c>
      <c r="B40" s="3" t="s">
        <v>11</v>
      </c>
      <c r="C40" s="3" t="s">
        <v>7</v>
      </c>
      <c r="D40" s="3" t="n">
        <v>1</v>
      </c>
      <c r="E40" s="4" t="n">
        <v>19.99</v>
      </c>
      <c r="F40" s="4" t="n">
        <v>19.99</v>
      </c>
    </row>
    <row r="41" customFormat="false" ht="15" hidden="false" customHeight="false" outlineLevel="0" collapsed="false">
      <c r="A41" s="2" t="n">
        <v>46195</v>
      </c>
      <c r="B41" s="3" t="s">
        <v>22</v>
      </c>
      <c r="C41" s="3" t="s">
        <v>13</v>
      </c>
      <c r="D41" s="3" t="n">
        <v>2</v>
      </c>
      <c r="E41" s="4" t="n">
        <v>17.72</v>
      </c>
      <c r="F41" s="4" t="n">
        <v>35.44</v>
      </c>
    </row>
    <row r="42" customFormat="false" ht="15" hidden="false" customHeight="false" outlineLevel="0" collapsed="false">
      <c r="A42" s="2" t="n">
        <v>46195</v>
      </c>
      <c r="B42" s="3" t="s">
        <v>23</v>
      </c>
      <c r="C42" s="3" t="s">
        <v>13</v>
      </c>
      <c r="D42" s="3" t="n">
        <v>2</v>
      </c>
      <c r="E42" s="4" t="n">
        <v>18.5</v>
      </c>
      <c r="F42" s="4" t="n">
        <v>37</v>
      </c>
    </row>
    <row r="43" customFormat="false" ht="15" hidden="false" customHeight="false" outlineLevel="0" collapsed="false">
      <c r="A43" s="2" t="n">
        <v>46196</v>
      </c>
      <c r="B43" s="3" t="s">
        <v>6</v>
      </c>
      <c r="C43" s="3" t="s">
        <v>13</v>
      </c>
      <c r="D43" s="3" t="n">
        <v>3</v>
      </c>
      <c r="E43" s="4" t="n">
        <v>18.5</v>
      </c>
      <c r="F43" s="4" t="n">
        <v>55.5</v>
      </c>
    </row>
    <row r="44" customFormat="false" ht="15" hidden="false" customHeight="false" outlineLevel="0" collapsed="false">
      <c r="A44" s="2" t="n">
        <v>46199</v>
      </c>
      <c r="B44" s="3" t="s">
        <v>21</v>
      </c>
      <c r="C44" s="3" t="s">
        <v>20</v>
      </c>
      <c r="D44" s="3" t="n">
        <v>3</v>
      </c>
      <c r="E44" s="4" t="n">
        <v>9.75</v>
      </c>
      <c r="F44" s="4" t="n">
        <v>29.25</v>
      </c>
    </row>
    <row r="45" customFormat="false" ht="15" hidden="false" customHeight="false" outlineLevel="0" collapsed="false">
      <c r="A45" s="2" t="n">
        <v>46199</v>
      </c>
      <c r="B45" s="3" t="s">
        <v>17</v>
      </c>
      <c r="C45" s="3" t="s">
        <v>13</v>
      </c>
      <c r="D45" s="3" t="n">
        <v>1</v>
      </c>
      <c r="E45" s="4" t="n">
        <v>18.5</v>
      </c>
      <c r="F45" s="4" t="n">
        <v>18.5</v>
      </c>
    </row>
    <row r="46" customFormat="false" ht="15" hidden="false" customHeight="false" outlineLevel="0" collapsed="false">
      <c r="A46" s="2" t="n">
        <v>46199</v>
      </c>
      <c r="B46" s="3" t="s">
        <v>23</v>
      </c>
      <c r="C46" s="3" t="s">
        <v>20</v>
      </c>
      <c r="D46" s="3" t="n">
        <v>1</v>
      </c>
      <c r="E46" s="4" t="n">
        <v>9.75</v>
      </c>
      <c r="F46" s="4" t="n">
        <v>9.75</v>
      </c>
    </row>
    <row r="47" customFormat="false" ht="15" hidden="false" customHeight="false" outlineLevel="0" collapsed="false">
      <c r="A47" s="2" t="n">
        <v>46200</v>
      </c>
      <c r="B47" s="3" t="s">
        <v>12</v>
      </c>
      <c r="C47" s="3" t="s">
        <v>9</v>
      </c>
      <c r="D47" s="3" t="n">
        <v>3</v>
      </c>
      <c r="E47" s="4" t="n">
        <v>22</v>
      </c>
      <c r="F47" s="4" t="n">
        <v>66</v>
      </c>
    </row>
    <row r="48" customFormat="false" ht="15" hidden="false" customHeight="false" outlineLevel="0" collapsed="false">
      <c r="A48" s="2" t="n">
        <v>46200</v>
      </c>
      <c r="B48" s="3" t="s">
        <v>23</v>
      </c>
      <c r="C48" s="3" t="s">
        <v>14</v>
      </c>
      <c r="D48" s="3" t="n">
        <v>2</v>
      </c>
      <c r="E48" s="4" t="n">
        <v>12.3</v>
      </c>
      <c r="F48" s="4" t="n">
        <v>24.6</v>
      </c>
    </row>
    <row r="49" customFormat="false" ht="15" hidden="false" customHeight="false" outlineLevel="0" collapsed="false">
      <c r="A49" s="2" t="n">
        <v>46201</v>
      </c>
      <c r="B49" s="3" t="s">
        <v>21</v>
      </c>
      <c r="C49" s="3" t="s">
        <v>13</v>
      </c>
      <c r="D49" s="3" t="n">
        <v>2</v>
      </c>
      <c r="E49" s="4" t="n">
        <v>18.5</v>
      </c>
      <c r="F49" s="4" t="n">
        <v>37</v>
      </c>
    </row>
    <row r="50" customFormat="false" ht="15" hidden="false" customHeight="false" outlineLevel="0" collapsed="false">
      <c r="A50" s="2" t="n">
        <v>46201</v>
      </c>
      <c r="B50" s="3" t="s">
        <v>12</v>
      </c>
      <c r="C50" s="3" t="s">
        <v>14</v>
      </c>
      <c r="D50" s="3" t="n">
        <v>2</v>
      </c>
      <c r="E50" s="4" t="n">
        <v>11.38</v>
      </c>
      <c r="F50" s="4" t="n">
        <v>22.76</v>
      </c>
    </row>
    <row r="51" customFormat="false" ht="15" hidden="false" customHeight="false" outlineLevel="0" collapsed="false">
      <c r="A51" s="2" t="n">
        <v>46201</v>
      </c>
      <c r="B51" s="3" t="s">
        <v>6</v>
      </c>
      <c r="C51" s="3" t="s">
        <v>20</v>
      </c>
      <c r="D51" s="3" t="n">
        <v>1</v>
      </c>
      <c r="E51" s="4" t="n">
        <v>9.75</v>
      </c>
      <c r="F51" s="4" t="n">
        <v>9.75</v>
      </c>
    </row>
    <row r="52" customFormat="false" ht="15" hidden="false" customHeight="false" outlineLevel="0" collapsed="false">
      <c r="A52" s="2" t="n">
        <v>46202</v>
      </c>
      <c r="B52" s="3" t="s">
        <v>23</v>
      </c>
      <c r="C52" s="3" t="s">
        <v>9</v>
      </c>
      <c r="D52" s="3" t="n">
        <v>2</v>
      </c>
      <c r="E52" s="4" t="n">
        <v>22</v>
      </c>
      <c r="F52" s="4" t="n">
        <v>44</v>
      </c>
    </row>
    <row r="53" customFormat="false" ht="15" hidden="false" customHeight="false" outlineLevel="0" collapsed="false">
      <c r="A53" s="2" t="n">
        <v>46203</v>
      </c>
      <c r="B53" s="3" t="s">
        <v>19</v>
      </c>
      <c r="C53" s="3" t="s">
        <v>13</v>
      </c>
      <c r="D53" s="3" t="n">
        <v>1</v>
      </c>
      <c r="E53" s="4" t="n">
        <v>18.5</v>
      </c>
      <c r="F53" s="4" t="n">
        <v>18.5</v>
      </c>
    </row>
    <row r="54" customFormat="false" ht="15" hidden="false" customHeight="false" outlineLevel="0" collapsed="false">
      <c r="A54" s="2" t="n">
        <v>46203</v>
      </c>
      <c r="B54" s="3" t="s">
        <v>24</v>
      </c>
      <c r="C54" s="3" t="s">
        <v>13</v>
      </c>
      <c r="D54" s="3" t="n">
        <v>1</v>
      </c>
      <c r="E54" s="4" t="n">
        <v>18.5</v>
      </c>
      <c r="F54" s="4" t="n">
        <v>18.5</v>
      </c>
    </row>
    <row r="55" customFormat="false" ht="15" hidden="false" customHeight="false" outlineLevel="0" collapsed="false">
      <c r="A55" s="2" t="n">
        <v>46204</v>
      </c>
      <c r="B55" s="3" t="s">
        <v>22</v>
      </c>
      <c r="C55" s="3" t="s">
        <v>13</v>
      </c>
      <c r="D55" s="3" t="n">
        <v>1</v>
      </c>
      <c r="E55" s="4" t="n">
        <v>18.5</v>
      </c>
      <c r="F55" s="4" t="n">
        <v>18.5</v>
      </c>
    </row>
    <row r="56" customFormat="false" ht="15" hidden="false" customHeight="false" outlineLevel="0" collapsed="false">
      <c r="A56" s="2" t="n">
        <v>46204</v>
      </c>
      <c r="B56" s="3" t="s">
        <v>22</v>
      </c>
      <c r="C56" s="3" t="s">
        <v>9</v>
      </c>
      <c r="D56" s="3" t="n">
        <v>1</v>
      </c>
      <c r="E56" s="4" t="n">
        <v>22</v>
      </c>
      <c r="F56" s="4" t="n">
        <v>22</v>
      </c>
    </row>
    <row r="57" customFormat="false" ht="15" hidden="false" customHeight="false" outlineLevel="0" collapsed="false">
      <c r="A57" s="2" t="n">
        <v>46204</v>
      </c>
      <c r="B57" s="3" t="s">
        <v>6</v>
      </c>
      <c r="C57" s="3" t="s">
        <v>20</v>
      </c>
      <c r="D57" s="3" t="n">
        <v>3</v>
      </c>
      <c r="E57" s="4" t="n">
        <v>9.75</v>
      </c>
      <c r="F57" s="4" t="n">
        <v>29.25</v>
      </c>
    </row>
    <row r="58" customFormat="false" ht="15" hidden="false" customHeight="false" outlineLevel="0" collapsed="false">
      <c r="A58" s="2" t="n">
        <v>46205</v>
      </c>
      <c r="B58" s="3" t="s">
        <v>24</v>
      </c>
      <c r="C58" s="3" t="s">
        <v>13</v>
      </c>
      <c r="D58" s="3" t="n">
        <v>1</v>
      </c>
      <c r="E58" s="4" t="n">
        <v>18.5</v>
      </c>
      <c r="F58" s="4" t="n">
        <v>18.5</v>
      </c>
    </row>
    <row r="59" customFormat="false" ht="15" hidden="false" customHeight="false" outlineLevel="0" collapsed="false">
      <c r="A59" s="2" t="n">
        <v>46205</v>
      </c>
      <c r="B59" s="3" t="s">
        <v>15</v>
      </c>
      <c r="C59" s="3" t="s">
        <v>16</v>
      </c>
      <c r="D59" s="3" t="n">
        <v>1</v>
      </c>
      <c r="E59" s="4" t="n">
        <v>24.9</v>
      </c>
      <c r="F59" s="4" t="n">
        <v>24.9</v>
      </c>
    </row>
    <row r="60" customFormat="false" ht="15" hidden="false" customHeight="false" outlineLevel="0" collapsed="false">
      <c r="A60" s="2" t="n">
        <v>46205</v>
      </c>
      <c r="B60" s="3" t="s">
        <v>23</v>
      </c>
      <c r="C60" s="3" t="s">
        <v>7</v>
      </c>
      <c r="D60" s="3" t="n">
        <v>1</v>
      </c>
      <c r="E60" s="4" t="n">
        <v>19.99</v>
      </c>
      <c r="F60" s="4" t="n">
        <v>19.99</v>
      </c>
    </row>
    <row r="61" customFormat="false" ht="15" hidden="false" customHeight="false" outlineLevel="0" collapsed="false">
      <c r="A61" s="2" t="n">
        <v>46206</v>
      </c>
      <c r="B61" s="3" t="s">
        <v>12</v>
      </c>
      <c r="C61" s="3" t="s">
        <v>13</v>
      </c>
      <c r="D61" s="3" t="n">
        <v>1</v>
      </c>
      <c r="E61" s="4" t="n">
        <v>18.5</v>
      </c>
      <c r="F61" s="4" t="n">
        <v>18.5</v>
      </c>
    </row>
    <row r="62" customFormat="false" ht="15" hidden="false" customHeight="false" outlineLevel="0" collapsed="false">
      <c r="A62" s="2" t="n">
        <v>46207</v>
      </c>
      <c r="B62" s="3" t="s">
        <v>6</v>
      </c>
      <c r="C62" s="3" t="s">
        <v>10</v>
      </c>
      <c r="D62" s="3" t="n">
        <v>2</v>
      </c>
      <c r="E62" s="4" t="n">
        <v>7.5</v>
      </c>
      <c r="F62" s="4" t="n">
        <v>15</v>
      </c>
    </row>
    <row r="63" customFormat="false" ht="15" hidden="false" customHeight="false" outlineLevel="0" collapsed="false">
      <c r="A63" s="2" t="n">
        <v>46208</v>
      </c>
      <c r="B63" s="3" t="s">
        <v>22</v>
      </c>
      <c r="C63" s="3" t="s">
        <v>9</v>
      </c>
      <c r="D63" s="3" t="n">
        <v>3</v>
      </c>
      <c r="E63" s="4" t="n">
        <v>22</v>
      </c>
      <c r="F63" s="4" t="n">
        <v>66</v>
      </c>
    </row>
    <row r="64" customFormat="false" ht="15" hidden="false" customHeight="false" outlineLevel="0" collapsed="false">
      <c r="A64" s="2" t="n">
        <v>46208</v>
      </c>
      <c r="B64" s="3" t="s">
        <v>15</v>
      </c>
      <c r="C64" s="3" t="s">
        <v>10</v>
      </c>
      <c r="D64" s="3" t="n">
        <v>1</v>
      </c>
      <c r="E64" s="4" t="n">
        <v>7.5</v>
      </c>
      <c r="F64" s="4" t="n">
        <v>7.5</v>
      </c>
    </row>
    <row r="65" customFormat="false" ht="15" hidden="false" customHeight="false" outlineLevel="0" collapsed="false">
      <c r="A65" s="2" t="n">
        <v>46208</v>
      </c>
      <c r="B65" s="3" t="s">
        <v>15</v>
      </c>
      <c r="C65" s="3" t="s">
        <v>7</v>
      </c>
      <c r="D65" s="3" t="n">
        <v>1</v>
      </c>
      <c r="E65" s="4" t="n">
        <v>19.99</v>
      </c>
      <c r="F65" s="4" t="n">
        <v>19.99</v>
      </c>
    </row>
    <row r="66" customFormat="false" ht="15" hidden="false" customHeight="false" outlineLevel="0" collapsed="false">
      <c r="A66" s="2" t="n">
        <v>46209</v>
      </c>
      <c r="B66" s="3" t="s">
        <v>23</v>
      </c>
      <c r="C66" s="3" t="s">
        <v>10</v>
      </c>
      <c r="D66" s="3" t="n">
        <v>1</v>
      </c>
      <c r="E66" s="4" t="n">
        <v>7.5</v>
      </c>
      <c r="F66" s="4" t="n">
        <v>7.5</v>
      </c>
    </row>
    <row r="67" customFormat="false" ht="15" hidden="false" customHeight="false" outlineLevel="0" collapsed="false">
      <c r="A67" s="2" t="n">
        <v>46209</v>
      </c>
      <c r="B67" s="3" t="s">
        <v>24</v>
      </c>
      <c r="C67" s="3" t="s">
        <v>14</v>
      </c>
      <c r="D67" s="3" t="n">
        <v>1</v>
      </c>
      <c r="E67" s="4" t="n">
        <v>12.3</v>
      </c>
      <c r="F67" s="4" t="n">
        <v>12.3</v>
      </c>
    </row>
    <row r="68" customFormat="false" ht="15" hidden="false" customHeight="false" outlineLevel="0" collapsed="false">
      <c r="A68" s="2" t="n">
        <v>46209</v>
      </c>
      <c r="B68" s="3" t="s">
        <v>15</v>
      </c>
      <c r="C68" s="3" t="s">
        <v>13</v>
      </c>
      <c r="D68" s="3" t="n">
        <v>1</v>
      </c>
      <c r="E68" s="4" t="n">
        <v>18.5</v>
      </c>
      <c r="F68" s="4" t="n">
        <v>18.5</v>
      </c>
    </row>
    <row r="69" customFormat="false" ht="15" hidden="false" customHeight="false" outlineLevel="0" collapsed="false">
      <c r="A69" s="2" t="n">
        <v>46209</v>
      </c>
      <c r="B69" s="3" t="s">
        <v>11</v>
      </c>
      <c r="C69" s="3" t="s">
        <v>16</v>
      </c>
      <c r="D69" s="3" t="n">
        <v>2</v>
      </c>
      <c r="E69" s="4" t="n">
        <v>24.9</v>
      </c>
      <c r="F69" s="4" t="n">
        <v>49.8</v>
      </c>
    </row>
    <row r="70" customFormat="false" ht="15" hidden="false" customHeight="false" outlineLevel="0" collapsed="false">
      <c r="A70" s="2" t="n">
        <v>46210</v>
      </c>
      <c r="B70" s="3" t="s">
        <v>24</v>
      </c>
      <c r="C70" s="3" t="s">
        <v>9</v>
      </c>
      <c r="D70" s="3" t="n">
        <v>1</v>
      </c>
      <c r="E70" s="4" t="n">
        <v>22</v>
      </c>
      <c r="F70" s="4" t="n">
        <v>22</v>
      </c>
    </row>
    <row r="71" customFormat="false" ht="15" hidden="false" customHeight="false" outlineLevel="0" collapsed="false">
      <c r="A71" s="2" t="n">
        <v>46211</v>
      </c>
      <c r="B71" s="3" t="s">
        <v>11</v>
      </c>
      <c r="C71" s="3" t="s">
        <v>18</v>
      </c>
      <c r="D71" s="3" t="n">
        <v>1</v>
      </c>
      <c r="E71" s="4" t="n">
        <v>11.2</v>
      </c>
      <c r="F71" s="4" t="n">
        <v>11.2</v>
      </c>
    </row>
    <row r="72" customFormat="false" ht="15" hidden="false" customHeight="false" outlineLevel="0" collapsed="false">
      <c r="A72" s="2" t="n">
        <v>46211</v>
      </c>
      <c r="B72" s="3" t="s">
        <v>11</v>
      </c>
      <c r="C72" s="3" t="s">
        <v>13</v>
      </c>
      <c r="D72" s="3" t="n">
        <v>2</v>
      </c>
      <c r="E72" s="4" t="n">
        <v>18.5</v>
      </c>
      <c r="F72" s="4" t="n">
        <v>37</v>
      </c>
    </row>
    <row r="73" customFormat="false" ht="15" hidden="false" customHeight="false" outlineLevel="0" collapsed="false">
      <c r="A73" s="2" t="n">
        <v>46212</v>
      </c>
      <c r="B73" s="3" t="s">
        <v>22</v>
      </c>
      <c r="C73" s="3" t="s">
        <v>16</v>
      </c>
      <c r="D73" s="3" t="n">
        <v>1</v>
      </c>
      <c r="E73" s="4" t="n">
        <v>24.9</v>
      </c>
      <c r="F73" s="4" t="n">
        <v>24.9</v>
      </c>
    </row>
    <row r="74" customFormat="false" ht="15" hidden="false" customHeight="false" outlineLevel="0" collapsed="false">
      <c r="A74" s="2" t="n">
        <v>46213</v>
      </c>
      <c r="B74" s="3" t="s">
        <v>17</v>
      </c>
      <c r="C74" s="3" t="s">
        <v>10</v>
      </c>
      <c r="D74" s="3" t="n">
        <v>1</v>
      </c>
      <c r="E74" s="4" t="n">
        <v>7.5</v>
      </c>
      <c r="F74" s="4" t="n">
        <v>7.5</v>
      </c>
    </row>
    <row r="75" customFormat="false" ht="15" hidden="false" customHeight="false" outlineLevel="0" collapsed="false">
      <c r="A75" s="2" t="n">
        <v>46213</v>
      </c>
      <c r="B75" s="3" t="s">
        <v>19</v>
      </c>
      <c r="C75" s="3" t="s">
        <v>14</v>
      </c>
      <c r="D75" s="3" t="n">
        <v>1</v>
      </c>
      <c r="E75" s="4" t="n">
        <v>12.3</v>
      </c>
      <c r="F75" s="4" t="n">
        <v>12.3</v>
      </c>
    </row>
    <row r="76" customFormat="false" ht="15" hidden="false" customHeight="false" outlineLevel="0" collapsed="false">
      <c r="A76" s="2" t="n">
        <v>46214</v>
      </c>
      <c r="B76" s="3" t="s">
        <v>21</v>
      </c>
      <c r="C76" s="3" t="s">
        <v>18</v>
      </c>
      <c r="D76" s="3" t="n">
        <v>3</v>
      </c>
      <c r="E76" s="4" t="n">
        <v>11.2</v>
      </c>
      <c r="F76" s="4" t="n">
        <v>33.6</v>
      </c>
    </row>
    <row r="77" customFormat="false" ht="15" hidden="false" customHeight="false" outlineLevel="0" collapsed="false">
      <c r="A77" s="2" t="n">
        <v>46216</v>
      </c>
      <c r="B77" s="3" t="s">
        <v>11</v>
      </c>
      <c r="C77" s="3" t="s">
        <v>18</v>
      </c>
      <c r="D77" s="3" t="n">
        <v>3</v>
      </c>
      <c r="E77" s="4" t="n">
        <v>11.2</v>
      </c>
      <c r="F77" s="4" t="n">
        <v>33.6</v>
      </c>
    </row>
    <row r="78" customFormat="false" ht="15" hidden="false" customHeight="false" outlineLevel="0" collapsed="false">
      <c r="A78" s="2" t="n">
        <v>46218</v>
      </c>
      <c r="B78" s="3" t="s">
        <v>17</v>
      </c>
      <c r="C78" s="3" t="s">
        <v>9</v>
      </c>
      <c r="D78" s="3" t="n">
        <v>3</v>
      </c>
      <c r="E78" s="4" t="n">
        <v>22</v>
      </c>
      <c r="F78" s="4" t="n">
        <v>66</v>
      </c>
    </row>
    <row r="79" customFormat="false" ht="15" hidden="false" customHeight="false" outlineLevel="0" collapsed="false">
      <c r="A79" s="2" t="n">
        <v>46218</v>
      </c>
      <c r="B79" s="3" t="s">
        <v>24</v>
      </c>
      <c r="C79" s="3" t="s">
        <v>10</v>
      </c>
      <c r="D79" s="3" t="n">
        <v>2</v>
      </c>
      <c r="E79" s="4" t="n">
        <v>7.5</v>
      </c>
      <c r="F79" s="4" t="n">
        <v>15</v>
      </c>
    </row>
    <row r="80" customFormat="false" ht="15" hidden="false" customHeight="false" outlineLevel="0" collapsed="false">
      <c r="A80" s="2" t="n">
        <v>46218</v>
      </c>
      <c r="B80" s="3" t="s">
        <v>21</v>
      </c>
      <c r="C80" s="3" t="s">
        <v>14</v>
      </c>
      <c r="D80" s="3" t="n">
        <v>1</v>
      </c>
      <c r="E80" s="4" t="n">
        <v>12.3</v>
      </c>
      <c r="F80" s="4" t="n">
        <v>12.3</v>
      </c>
    </row>
    <row r="81" customFormat="false" ht="15" hidden="false" customHeight="false" outlineLevel="0" collapsed="false">
      <c r="A81" s="2" t="n">
        <v>46219</v>
      </c>
      <c r="B81" s="3" t="s">
        <v>6</v>
      </c>
      <c r="C81" s="3" t="s">
        <v>10</v>
      </c>
      <c r="D81" s="3" t="n">
        <v>1</v>
      </c>
      <c r="E81" s="4" t="n">
        <v>7.5</v>
      </c>
      <c r="F81" s="4" t="n">
        <v>7.5</v>
      </c>
    </row>
    <row r="82" customFormat="false" ht="15" hidden="false" customHeight="false" outlineLevel="0" collapsed="false">
      <c r="A82" s="2" t="n">
        <v>46220</v>
      </c>
      <c r="B82" s="3" t="s">
        <v>12</v>
      </c>
      <c r="C82" s="3" t="s">
        <v>9</v>
      </c>
      <c r="D82" s="3" t="n">
        <v>1</v>
      </c>
      <c r="E82" s="4" t="n">
        <v>19.61</v>
      </c>
      <c r="F82" s="4" t="n">
        <v>19.61</v>
      </c>
    </row>
    <row r="83" customFormat="false" ht="15" hidden="false" customHeight="false" outlineLevel="0" collapsed="false">
      <c r="A83" s="2" t="n">
        <v>46221</v>
      </c>
      <c r="B83" s="3" t="s">
        <v>6</v>
      </c>
      <c r="C83" s="3" t="s">
        <v>16</v>
      </c>
      <c r="D83" s="3" t="n">
        <v>2</v>
      </c>
      <c r="E83" s="4" t="n">
        <v>24.9</v>
      </c>
      <c r="F83" s="4" t="n">
        <v>49.8</v>
      </c>
    </row>
    <row r="84" customFormat="false" ht="15" hidden="false" customHeight="false" outlineLevel="0" collapsed="false">
      <c r="A84" s="2" t="n">
        <v>46221</v>
      </c>
      <c r="B84" s="3" t="s">
        <v>19</v>
      </c>
      <c r="C84" s="3" t="s">
        <v>16</v>
      </c>
      <c r="D84" s="3" t="n">
        <v>1</v>
      </c>
      <c r="E84" s="4" t="n">
        <v>24.1</v>
      </c>
      <c r="F84" s="4" t="n">
        <v>24.1</v>
      </c>
    </row>
    <row r="85" customFormat="false" ht="15" hidden="false" customHeight="false" outlineLevel="0" collapsed="false">
      <c r="A85" s="2" t="n">
        <v>46222</v>
      </c>
      <c r="B85" s="3" t="s">
        <v>6</v>
      </c>
      <c r="C85" s="3" t="s">
        <v>7</v>
      </c>
      <c r="D85" s="3" t="n">
        <v>2</v>
      </c>
      <c r="E85" s="4" t="n">
        <v>19.99</v>
      </c>
      <c r="F85" s="4" t="n">
        <v>39.98</v>
      </c>
    </row>
    <row r="86" customFormat="false" ht="15" hidden="false" customHeight="false" outlineLevel="0" collapsed="false">
      <c r="A86" s="2" t="n">
        <v>46222</v>
      </c>
      <c r="B86" s="3" t="s">
        <v>8</v>
      </c>
      <c r="C86" s="3" t="s">
        <v>13</v>
      </c>
      <c r="D86" s="3" t="n">
        <v>1</v>
      </c>
      <c r="E86" s="4" t="n">
        <v>18.5</v>
      </c>
      <c r="F86" s="4" t="n">
        <v>18.5</v>
      </c>
    </row>
    <row r="87" customFormat="false" ht="15" hidden="false" customHeight="false" outlineLevel="0" collapsed="false">
      <c r="A87" s="2" t="n">
        <v>46222</v>
      </c>
      <c r="B87" s="3" t="s">
        <v>11</v>
      </c>
      <c r="C87" s="3" t="s">
        <v>7</v>
      </c>
      <c r="D87" s="3" t="n">
        <v>1</v>
      </c>
      <c r="E87" s="4" t="n">
        <v>19.99</v>
      </c>
      <c r="F87" s="4" t="n">
        <v>19.99</v>
      </c>
    </row>
    <row r="88" customFormat="false" ht="15" hidden="false" customHeight="false" outlineLevel="0" collapsed="false">
      <c r="A88" s="2" t="n">
        <v>46223</v>
      </c>
      <c r="B88" s="3" t="s">
        <v>11</v>
      </c>
      <c r="C88" s="3" t="s">
        <v>20</v>
      </c>
      <c r="D88" s="3" t="n">
        <v>1</v>
      </c>
      <c r="E88" s="4" t="n">
        <v>9.75</v>
      </c>
      <c r="F88" s="4" t="n">
        <v>9.75</v>
      </c>
    </row>
    <row r="89" customFormat="false" ht="15" hidden="false" customHeight="false" outlineLevel="0" collapsed="false">
      <c r="A89" s="2" t="n">
        <v>46223</v>
      </c>
      <c r="B89" s="3" t="s">
        <v>19</v>
      </c>
      <c r="C89" s="3" t="s">
        <v>14</v>
      </c>
      <c r="D89" s="3" t="n">
        <v>1</v>
      </c>
      <c r="E89" s="4" t="n">
        <v>12.3</v>
      </c>
      <c r="F89" s="4" t="n">
        <v>12.3</v>
      </c>
    </row>
    <row r="90" customFormat="false" ht="15" hidden="false" customHeight="false" outlineLevel="0" collapsed="false">
      <c r="A90" s="2" t="n">
        <v>46225</v>
      </c>
      <c r="B90" s="3" t="s">
        <v>23</v>
      </c>
      <c r="C90" s="3" t="s">
        <v>9</v>
      </c>
      <c r="D90" s="3" t="n">
        <v>3</v>
      </c>
      <c r="E90" s="4" t="n">
        <v>22</v>
      </c>
      <c r="F90" s="4" t="n">
        <v>66</v>
      </c>
    </row>
    <row r="91" customFormat="false" ht="15" hidden="false" customHeight="false" outlineLevel="0" collapsed="false">
      <c r="A91" s="2" t="n">
        <v>46225</v>
      </c>
      <c r="B91" s="3" t="s">
        <v>17</v>
      </c>
      <c r="C91" s="3" t="s">
        <v>18</v>
      </c>
      <c r="D91" s="3" t="n">
        <v>1</v>
      </c>
      <c r="E91" s="4" t="n">
        <v>11.2</v>
      </c>
      <c r="F91" s="4" t="n">
        <v>11.2</v>
      </c>
    </row>
    <row r="92" customFormat="false" ht="15" hidden="false" customHeight="false" outlineLevel="0" collapsed="false">
      <c r="A92" s="2" t="n">
        <v>46225</v>
      </c>
      <c r="B92" s="3" t="s">
        <v>15</v>
      </c>
      <c r="C92" s="3" t="s">
        <v>18</v>
      </c>
      <c r="D92" s="3" t="n">
        <v>1</v>
      </c>
      <c r="E92" s="4" t="n">
        <v>11.2</v>
      </c>
      <c r="F92" s="4" t="n">
        <v>11.2</v>
      </c>
    </row>
    <row r="93" customFormat="false" ht="15" hidden="false" customHeight="false" outlineLevel="0" collapsed="false">
      <c r="A93" s="2" t="n">
        <v>46226</v>
      </c>
      <c r="B93" s="3" t="s">
        <v>11</v>
      </c>
      <c r="C93" s="3" t="s">
        <v>16</v>
      </c>
      <c r="D93" s="3" t="n">
        <v>3</v>
      </c>
      <c r="E93" s="4" t="n">
        <v>24.9</v>
      </c>
      <c r="F93" s="4" t="n">
        <v>74.7</v>
      </c>
    </row>
    <row r="94" customFormat="false" ht="15" hidden="false" customHeight="false" outlineLevel="0" collapsed="false">
      <c r="A94" s="2" t="n">
        <v>46226</v>
      </c>
      <c r="B94" s="3" t="s">
        <v>21</v>
      </c>
      <c r="C94" s="3" t="s">
        <v>13</v>
      </c>
      <c r="D94" s="3" t="n">
        <v>3</v>
      </c>
      <c r="E94" s="4" t="n">
        <v>18.5</v>
      </c>
      <c r="F94" s="4" t="n">
        <v>55.5</v>
      </c>
    </row>
    <row r="95" customFormat="false" ht="15" hidden="false" customHeight="false" outlineLevel="0" collapsed="false">
      <c r="A95" s="2" t="n">
        <v>46226</v>
      </c>
      <c r="B95" s="3" t="s">
        <v>12</v>
      </c>
      <c r="C95" s="3" t="s">
        <v>18</v>
      </c>
      <c r="D95" s="3" t="n">
        <v>1</v>
      </c>
      <c r="E95" s="4" t="n">
        <v>11.2</v>
      </c>
      <c r="F95" s="4" t="n">
        <v>11.2</v>
      </c>
    </row>
    <row r="96" customFormat="false" ht="15" hidden="false" customHeight="false" outlineLevel="0" collapsed="false">
      <c r="A96" s="2" t="n">
        <v>46226</v>
      </c>
      <c r="B96" s="3" t="s">
        <v>6</v>
      </c>
      <c r="C96" s="3" t="s">
        <v>7</v>
      </c>
      <c r="D96" s="3" t="n">
        <v>1</v>
      </c>
      <c r="E96" s="4" t="n">
        <v>19.99</v>
      </c>
      <c r="F96" s="4" t="n">
        <v>19.99</v>
      </c>
    </row>
    <row r="97" customFormat="false" ht="15" hidden="false" customHeight="false" outlineLevel="0" collapsed="false">
      <c r="A97" s="2" t="n">
        <v>46227</v>
      </c>
      <c r="B97" s="3" t="s">
        <v>12</v>
      </c>
      <c r="C97" s="3" t="s">
        <v>7</v>
      </c>
      <c r="D97" s="3" t="n">
        <v>2</v>
      </c>
      <c r="E97" s="4" t="n">
        <v>19.99</v>
      </c>
      <c r="F97" s="4" t="n">
        <v>39.98</v>
      </c>
    </row>
    <row r="98" customFormat="false" ht="15" hidden="false" customHeight="false" outlineLevel="0" collapsed="false">
      <c r="A98" s="2" t="n">
        <v>46227</v>
      </c>
      <c r="B98" s="3" t="s">
        <v>21</v>
      </c>
      <c r="C98" s="3" t="s">
        <v>18</v>
      </c>
      <c r="D98" s="3" t="n">
        <v>2</v>
      </c>
      <c r="E98" s="4" t="n">
        <v>11.38</v>
      </c>
      <c r="F98" s="4" t="n">
        <v>22.76</v>
      </c>
    </row>
    <row r="99" customFormat="false" ht="15" hidden="false" customHeight="false" outlineLevel="0" collapsed="false">
      <c r="A99" s="2" t="n">
        <v>46227</v>
      </c>
      <c r="B99" s="3" t="s">
        <v>22</v>
      </c>
      <c r="C99" s="3" t="s">
        <v>16</v>
      </c>
      <c r="D99" s="3" t="n">
        <v>1</v>
      </c>
      <c r="E99" s="4" t="n">
        <v>24.9</v>
      </c>
      <c r="F99" s="4" t="n">
        <v>24.9</v>
      </c>
    </row>
    <row r="100" customFormat="false" ht="15" hidden="false" customHeight="false" outlineLevel="0" collapsed="false">
      <c r="A100" s="2" t="n">
        <v>46227</v>
      </c>
      <c r="B100" s="3" t="s">
        <v>6</v>
      </c>
      <c r="C100" s="3" t="s">
        <v>9</v>
      </c>
      <c r="D100" s="3" t="n">
        <v>2</v>
      </c>
      <c r="E100" s="4" t="n">
        <v>22</v>
      </c>
      <c r="F100" s="4" t="n">
        <v>44</v>
      </c>
    </row>
    <row r="101" customFormat="false" ht="15" hidden="false" customHeight="false" outlineLevel="0" collapsed="false">
      <c r="A101" s="2" t="n">
        <v>46228</v>
      </c>
      <c r="B101" s="3" t="s">
        <v>12</v>
      </c>
      <c r="C101" s="3" t="s">
        <v>16</v>
      </c>
      <c r="D101" s="3" t="n">
        <v>1</v>
      </c>
      <c r="E101" s="4" t="n">
        <v>24.9</v>
      </c>
      <c r="F101" s="4" t="n">
        <v>24.9</v>
      </c>
    </row>
    <row r="102" customFormat="false" ht="15" hidden="false" customHeight="false" outlineLevel="0" collapsed="false">
      <c r="A102" s="2" t="n">
        <v>46228</v>
      </c>
      <c r="B102" s="3" t="s">
        <v>12</v>
      </c>
      <c r="C102" s="3" t="s">
        <v>16</v>
      </c>
      <c r="D102" s="3" t="n">
        <v>3</v>
      </c>
      <c r="E102" s="4" t="n">
        <v>24.9</v>
      </c>
      <c r="F102" s="4" t="n">
        <v>74.7</v>
      </c>
    </row>
    <row r="103" customFormat="false" ht="15" hidden="false" customHeight="false" outlineLevel="0" collapsed="false">
      <c r="A103" s="2" t="n">
        <v>46228</v>
      </c>
      <c r="B103" s="3" t="s">
        <v>24</v>
      </c>
      <c r="C103" s="3" t="s">
        <v>20</v>
      </c>
      <c r="D103" s="3" t="n">
        <v>1</v>
      </c>
      <c r="E103" s="4" t="n">
        <v>9.75</v>
      </c>
      <c r="F103" s="4" t="n">
        <v>9.75</v>
      </c>
    </row>
    <row r="104" customFormat="false" ht="15" hidden="false" customHeight="false" outlineLevel="0" collapsed="false">
      <c r="A104" s="2" t="n">
        <v>46228</v>
      </c>
      <c r="B104" s="3" t="s">
        <v>8</v>
      </c>
      <c r="C104" s="3" t="s">
        <v>9</v>
      </c>
      <c r="D104" s="3" t="n">
        <v>1</v>
      </c>
      <c r="E104" s="4" t="n">
        <v>22</v>
      </c>
      <c r="F104" s="4" t="n">
        <v>22</v>
      </c>
    </row>
    <row r="105" customFormat="false" ht="15" hidden="false" customHeight="false" outlineLevel="0" collapsed="false">
      <c r="A105" s="2" t="n">
        <v>46229</v>
      </c>
      <c r="B105" s="3" t="s">
        <v>23</v>
      </c>
      <c r="C105" s="3" t="s">
        <v>14</v>
      </c>
      <c r="D105" s="3" t="n">
        <v>1</v>
      </c>
      <c r="E105" s="4" t="n">
        <v>12.3</v>
      </c>
      <c r="F105" s="4" t="n">
        <v>12.3</v>
      </c>
    </row>
    <row r="106" customFormat="false" ht="15" hidden="false" customHeight="false" outlineLevel="0" collapsed="false">
      <c r="A106" s="2" t="n">
        <v>46229</v>
      </c>
      <c r="B106" s="3" t="s">
        <v>15</v>
      </c>
      <c r="C106" s="3" t="s">
        <v>16</v>
      </c>
      <c r="D106" s="3" t="n">
        <v>3</v>
      </c>
      <c r="E106" s="4" t="n">
        <v>24.9</v>
      </c>
      <c r="F106" s="4" t="n">
        <v>74.7</v>
      </c>
    </row>
    <row r="107" customFormat="false" ht="15" hidden="false" customHeight="false" outlineLevel="0" collapsed="false">
      <c r="A107" s="2" t="n">
        <v>46229</v>
      </c>
      <c r="B107" s="3" t="s">
        <v>19</v>
      </c>
      <c r="C107" s="3" t="s">
        <v>14</v>
      </c>
      <c r="D107" s="3" t="n">
        <v>1</v>
      </c>
      <c r="E107" s="4" t="n">
        <v>12.3</v>
      </c>
      <c r="F107" s="4" t="n">
        <v>12.3</v>
      </c>
    </row>
    <row r="108" customFormat="false" ht="15" hidden="false" customHeight="false" outlineLevel="0" collapsed="false">
      <c r="A108" s="2" t="n">
        <v>46230</v>
      </c>
      <c r="B108" s="3" t="s">
        <v>15</v>
      </c>
      <c r="C108" s="3" t="s">
        <v>9</v>
      </c>
      <c r="D108" s="3" t="n">
        <v>2</v>
      </c>
      <c r="E108" s="4" t="n">
        <v>22</v>
      </c>
      <c r="F108" s="4" t="n">
        <v>44</v>
      </c>
    </row>
    <row r="109" customFormat="false" ht="15" hidden="false" customHeight="false" outlineLevel="0" collapsed="false">
      <c r="A109" s="2" t="n">
        <v>46230</v>
      </c>
      <c r="B109" s="3" t="s">
        <v>23</v>
      </c>
      <c r="C109" s="3" t="s">
        <v>7</v>
      </c>
      <c r="D109" s="3" t="n">
        <v>2</v>
      </c>
      <c r="E109" s="4" t="n">
        <v>19.99</v>
      </c>
      <c r="F109" s="4" t="n">
        <v>39.98</v>
      </c>
    </row>
    <row r="110" customFormat="false" ht="15" hidden="false" customHeight="false" outlineLevel="0" collapsed="false">
      <c r="A110" s="2" t="n">
        <v>46232</v>
      </c>
      <c r="B110" s="3" t="s">
        <v>6</v>
      </c>
      <c r="C110" s="3" t="s">
        <v>20</v>
      </c>
      <c r="D110" s="3" t="n">
        <v>1</v>
      </c>
      <c r="E110" s="4" t="n">
        <v>9.75</v>
      </c>
      <c r="F110" s="4" t="n">
        <v>9.75</v>
      </c>
    </row>
    <row r="111" customFormat="false" ht="15" hidden="false" customHeight="false" outlineLevel="0" collapsed="false">
      <c r="A111" s="2" t="n">
        <v>46232</v>
      </c>
      <c r="B111" s="3" t="s">
        <v>6</v>
      </c>
      <c r="C111" s="3" t="s">
        <v>13</v>
      </c>
      <c r="D111" s="3" t="n">
        <v>1</v>
      </c>
      <c r="E111" s="4" t="n">
        <v>18.5</v>
      </c>
      <c r="F111" s="4" t="n">
        <v>18.5</v>
      </c>
    </row>
    <row r="112" customFormat="false" ht="15" hidden="false" customHeight="false" outlineLevel="0" collapsed="false">
      <c r="A112" s="2" t="n">
        <v>46232</v>
      </c>
      <c r="B112" s="3" t="s">
        <v>21</v>
      </c>
      <c r="C112" s="3" t="s">
        <v>10</v>
      </c>
      <c r="D112" s="3" t="n">
        <v>1</v>
      </c>
      <c r="E112" s="4" t="n">
        <v>7.5</v>
      </c>
      <c r="F112" s="4" t="n">
        <v>7.5</v>
      </c>
    </row>
    <row r="113" customFormat="false" ht="15" hidden="false" customHeight="false" outlineLevel="0" collapsed="false">
      <c r="A113" s="2" t="n">
        <v>46233</v>
      </c>
      <c r="B113" s="3" t="s">
        <v>15</v>
      </c>
      <c r="C113" s="3" t="s">
        <v>9</v>
      </c>
      <c r="D113" s="3" t="n">
        <v>1</v>
      </c>
      <c r="E113" s="4" t="n">
        <v>22</v>
      </c>
      <c r="F113" s="4" t="n">
        <v>22</v>
      </c>
    </row>
    <row r="114" customFormat="false" ht="15" hidden="false" customHeight="false" outlineLevel="0" collapsed="false">
      <c r="A114" s="2" t="n">
        <v>46233</v>
      </c>
      <c r="B114" s="3" t="s">
        <v>23</v>
      </c>
      <c r="C114" s="3" t="s">
        <v>13</v>
      </c>
      <c r="D114" s="3" t="n">
        <v>2</v>
      </c>
      <c r="E114" s="4" t="n">
        <v>18.5</v>
      </c>
      <c r="F114" s="4" t="n">
        <v>37</v>
      </c>
    </row>
    <row r="115" customFormat="false" ht="15" hidden="false" customHeight="false" outlineLevel="0" collapsed="false">
      <c r="A115" s="2" t="n">
        <v>46233</v>
      </c>
      <c r="B115" s="3" t="s">
        <v>24</v>
      </c>
      <c r="C115" s="3" t="s">
        <v>9</v>
      </c>
      <c r="D115" s="3" t="n">
        <v>1</v>
      </c>
      <c r="E115" s="4" t="n">
        <v>22</v>
      </c>
      <c r="F115" s="4" t="n">
        <v>22</v>
      </c>
    </row>
    <row r="116" customFormat="false" ht="15" hidden="false" customHeight="false" outlineLevel="0" collapsed="false">
      <c r="A116" s="2" t="n">
        <v>46234</v>
      </c>
      <c r="B116" s="3" t="s">
        <v>23</v>
      </c>
      <c r="C116" s="3" t="s">
        <v>13</v>
      </c>
      <c r="D116" s="3" t="n">
        <v>2</v>
      </c>
      <c r="E116" s="4" t="n">
        <v>18.5</v>
      </c>
      <c r="F116" s="4" t="n">
        <v>37</v>
      </c>
    </row>
    <row r="117" customFormat="false" ht="15" hidden="false" customHeight="false" outlineLevel="0" collapsed="false">
      <c r="A117" s="2" t="n">
        <v>46234</v>
      </c>
      <c r="B117" s="3" t="s">
        <v>24</v>
      </c>
      <c r="C117" s="3" t="s">
        <v>16</v>
      </c>
      <c r="D117" s="3" t="n">
        <v>2</v>
      </c>
      <c r="E117" s="4" t="n">
        <v>24.9</v>
      </c>
      <c r="F117" s="4" t="n">
        <v>49.8</v>
      </c>
    </row>
    <row r="118" customFormat="false" ht="15" hidden="false" customHeight="false" outlineLevel="0" collapsed="false">
      <c r="A118" s="2" t="n">
        <v>46234</v>
      </c>
      <c r="B118" s="3" t="s">
        <v>11</v>
      </c>
      <c r="C118" s="3" t="s">
        <v>9</v>
      </c>
      <c r="D118" s="3" t="n">
        <v>1</v>
      </c>
      <c r="E118" s="4" t="n">
        <v>22</v>
      </c>
      <c r="F118" s="4" t="n">
        <v>22</v>
      </c>
    </row>
    <row r="119" customFormat="false" ht="15" hidden="false" customHeight="false" outlineLevel="0" collapsed="false">
      <c r="A119" s="2" t="n">
        <v>46235</v>
      </c>
      <c r="B119" s="3" t="s">
        <v>6</v>
      </c>
      <c r="C119" s="3" t="s">
        <v>18</v>
      </c>
      <c r="D119" s="3" t="n">
        <v>1</v>
      </c>
      <c r="E119" s="4" t="n">
        <v>11.2</v>
      </c>
      <c r="F119" s="4" t="n">
        <v>11.2</v>
      </c>
    </row>
    <row r="120" customFormat="false" ht="15" hidden="false" customHeight="false" outlineLevel="0" collapsed="false">
      <c r="A120" s="2" t="n">
        <v>46236</v>
      </c>
      <c r="B120" s="3" t="s">
        <v>23</v>
      </c>
      <c r="C120" s="3" t="s">
        <v>20</v>
      </c>
      <c r="D120" s="3" t="n">
        <v>1</v>
      </c>
      <c r="E120" s="4" t="n">
        <v>9.75</v>
      </c>
      <c r="F120" s="4" t="n">
        <v>9.75</v>
      </c>
    </row>
    <row r="121" customFormat="false" ht="15" hidden="false" customHeight="false" outlineLevel="0" collapsed="false">
      <c r="A121" s="2" t="n">
        <v>46236</v>
      </c>
      <c r="B121" s="3" t="s">
        <v>24</v>
      </c>
      <c r="C121" s="3" t="s">
        <v>20</v>
      </c>
      <c r="D121" s="3" t="n">
        <v>3</v>
      </c>
      <c r="E121" s="4" t="n">
        <v>9.75</v>
      </c>
      <c r="F121" s="4" t="n">
        <v>29.25</v>
      </c>
    </row>
    <row r="122" customFormat="false" ht="15" hidden="false" customHeight="false" outlineLevel="0" collapsed="false">
      <c r="A122" s="2" t="n">
        <v>46236</v>
      </c>
      <c r="B122" s="3" t="s">
        <v>17</v>
      </c>
      <c r="C122" s="3" t="s">
        <v>10</v>
      </c>
      <c r="D122" s="3" t="n">
        <v>1</v>
      </c>
      <c r="E122" s="4" t="n">
        <v>7.5</v>
      </c>
      <c r="F122" s="4" t="n">
        <v>7.5</v>
      </c>
    </row>
    <row r="123" customFormat="false" ht="15" hidden="false" customHeight="false" outlineLevel="0" collapsed="false">
      <c r="A123" s="2" t="n">
        <v>46236</v>
      </c>
      <c r="B123" s="3" t="s">
        <v>24</v>
      </c>
      <c r="C123" s="3" t="s">
        <v>13</v>
      </c>
      <c r="D123" s="3" t="n">
        <v>1</v>
      </c>
      <c r="E123" s="4" t="n">
        <v>18.5</v>
      </c>
      <c r="F123" s="4" t="n">
        <v>18.5</v>
      </c>
    </row>
    <row r="124" customFormat="false" ht="15" hidden="false" customHeight="false" outlineLevel="0" collapsed="false">
      <c r="A124" s="2" t="n">
        <v>46236</v>
      </c>
      <c r="B124" s="3" t="s">
        <v>15</v>
      </c>
      <c r="C124" s="3" t="s">
        <v>10</v>
      </c>
      <c r="D124" s="3" t="n">
        <v>1</v>
      </c>
      <c r="E124" s="4" t="n">
        <v>7.5</v>
      </c>
      <c r="F124" s="4" t="n">
        <v>7.5</v>
      </c>
    </row>
    <row r="125" customFormat="false" ht="15" hidden="false" customHeight="false" outlineLevel="0" collapsed="false">
      <c r="A125" s="2" t="n">
        <v>46237</v>
      </c>
      <c r="B125" s="3" t="s">
        <v>8</v>
      </c>
      <c r="C125" s="3" t="s">
        <v>14</v>
      </c>
      <c r="D125" s="3" t="n">
        <v>1</v>
      </c>
      <c r="E125" s="4" t="n">
        <v>12.3</v>
      </c>
      <c r="F125" s="4" t="n">
        <v>12.3</v>
      </c>
    </row>
    <row r="126" customFormat="false" ht="15" hidden="false" customHeight="false" outlineLevel="0" collapsed="false">
      <c r="A126" s="2" t="n">
        <v>46238</v>
      </c>
      <c r="B126" s="3" t="s">
        <v>6</v>
      </c>
      <c r="C126" s="3" t="s">
        <v>14</v>
      </c>
      <c r="D126" s="3" t="n">
        <v>1</v>
      </c>
      <c r="E126" s="4" t="n">
        <v>12.3</v>
      </c>
      <c r="F126" s="4" t="n">
        <v>12.3</v>
      </c>
    </row>
    <row r="127" customFormat="false" ht="15" hidden="false" customHeight="false" outlineLevel="0" collapsed="false">
      <c r="A127" s="2" t="n">
        <v>46238</v>
      </c>
      <c r="B127" s="3" t="s">
        <v>15</v>
      </c>
      <c r="C127" s="3" t="s">
        <v>18</v>
      </c>
      <c r="D127" s="3" t="n">
        <v>2</v>
      </c>
      <c r="E127" s="4" t="n">
        <v>11.2</v>
      </c>
      <c r="F127" s="4" t="n">
        <v>22.4</v>
      </c>
    </row>
    <row r="128" customFormat="false" ht="15" hidden="false" customHeight="false" outlineLevel="0" collapsed="false">
      <c r="A128" s="2" t="n">
        <v>46239</v>
      </c>
      <c r="B128" s="3" t="s">
        <v>22</v>
      </c>
      <c r="C128" s="3" t="s">
        <v>20</v>
      </c>
      <c r="D128" s="3" t="n">
        <v>1</v>
      </c>
      <c r="E128" s="4" t="n">
        <v>9.75</v>
      </c>
      <c r="F128" s="4" t="n">
        <v>9.75</v>
      </c>
    </row>
    <row r="129" customFormat="false" ht="15" hidden="false" customHeight="false" outlineLevel="0" collapsed="false">
      <c r="A129" s="2" t="n">
        <v>46240</v>
      </c>
      <c r="B129" s="3" t="s">
        <v>11</v>
      </c>
      <c r="C129" s="3" t="s">
        <v>14</v>
      </c>
      <c r="D129" s="3" t="n">
        <v>1</v>
      </c>
      <c r="E129" s="4" t="n">
        <v>12.3</v>
      </c>
      <c r="F129" s="4" t="n">
        <v>12.3</v>
      </c>
    </row>
    <row r="130" customFormat="false" ht="15" hidden="false" customHeight="false" outlineLevel="0" collapsed="false">
      <c r="A130" s="2" t="n">
        <v>46240</v>
      </c>
      <c r="B130" s="3" t="s">
        <v>11</v>
      </c>
      <c r="C130" s="3" t="s">
        <v>13</v>
      </c>
      <c r="D130" s="3" t="n">
        <v>1</v>
      </c>
      <c r="E130" s="4" t="n">
        <v>14.96</v>
      </c>
      <c r="F130" s="4" t="n">
        <v>14.96</v>
      </c>
    </row>
    <row r="131" customFormat="false" ht="15" hidden="false" customHeight="false" outlineLevel="0" collapsed="false">
      <c r="A131" s="2" t="n">
        <v>46240</v>
      </c>
      <c r="B131" s="3" t="s">
        <v>15</v>
      </c>
      <c r="C131" s="3" t="s">
        <v>13</v>
      </c>
      <c r="D131" s="3" t="n">
        <v>1</v>
      </c>
      <c r="E131" s="4" t="n">
        <v>18.5</v>
      </c>
      <c r="F131" s="4" t="n">
        <v>18.5</v>
      </c>
    </row>
    <row r="132" customFormat="false" ht="15" hidden="false" customHeight="false" outlineLevel="0" collapsed="false">
      <c r="A132" s="2" t="n">
        <v>46240</v>
      </c>
      <c r="B132" s="3" t="s">
        <v>11</v>
      </c>
      <c r="C132" s="3" t="s">
        <v>9</v>
      </c>
      <c r="D132" s="3" t="n">
        <v>3</v>
      </c>
      <c r="E132" s="4" t="n">
        <v>22</v>
      </c>
      <c r="F132" s="4" t="n">
        <v>66</v>
      </c>
    </row>
    <row r="133" customFormat="false" ht="15" hidden="false" customHeight="false" outlineLevel="0" collapsed="false">
      <c r="A133" s="2" t="n">
        <v>46241</v>
      </c>
      <c r="B133" s="3" t="s">
        <v>15</v>
      </c>
      <c r="C133" s="3" t="s">
        <v>14</v>
      </c>
      <c r="D133" s="3" t="n">
        <v>1</v>
      </c>
      <c r="E133" s="4" t="n">
        <v>12.3</v>
      </c>
      <c r="F133" s="4" t="n">
        <v>12.3</v>
      </c>
    </row>
    <row r="134" customFormat="false" ht="15" hidden="false" customHeight="false" outlineLevel="0" collapsed="false">
      <c r="A134" s="2" t="n">
        <v>46244</v>
      </c>
      <c r="B134" s="3" t="s">
        <v>11</v>
      </c>
      <c r="C134" s="3" t="s">
        <v>14</v>
      </c>
      <c r="D134" s="3" t="n">
        <v>1</v>
      </c>
      <c r="E134" s="4" t="n">
        <v>12.95</v>
      </c>
      <c r="F134" s="4" t="n">
        <v>12.95</v>
      </c>
    </row>
    <row r="135" customFormat="false" ht="15" hidden="false" customHeight="false" outlineLevel="0" collapsed="false">
      <c r="A135" s="2" t="n">
        <v>46244</v>
      </c>
      <c r="B135" s="3" t="s">
        <v>12</v>
      </c>
      <c r="C135" s="3" t="s">
        <v>20</v>
      </c>
      <c r="D135" s="3" t="n">
        <v>2</v>
      </c>
      <c r="E135" s="4" t="n">
        <v>9.75</v>
      </c>
      <c r="F135" s="4" t="n">
        <v>19.5</v>
      </c>
    </row>
    <row r="136" customFormat="false" ht="15" hidden="false" customHeight="false" outlineLevel="0" collapsed="false">
      <c r="A136" s="2" t="n">
        <v>46245</v>
      </c>
      <c r="B136" s="3" t="s">
        <v>8</v>
      </c>
      <c r="C136" s="3" t="s">
        <v>7</v>
      </c>
      <c r="D136" s="3" t="n">
        <v>1</v>
      </c>
      <c r="E136" s="4" t="n">
        <v>19.99</v>
      </c>
      <c r="F136" s="4" t="n">
        <v>19.99</v>
      </c>
    </row>
    <row r="137" customFormat="false" ht="15" hidden="false" customHeight="false" outlineLevel="0" collapsed="false">
      <c r="A137" s="2" t="n">
        <v>46245</v>
      </c>
      <c r="B137" s="3" t="s">
        <v>8</v>
      </c>
      <c r="C137" s="3" t="s">
        <v>20</v>
      </c>
      <c r="D137" s="3" t="n">
        <v>2</v>
      </c>
      <c r="E137" s="4" t="n">
        <v>9.75</v>
      </c>
      <c r="F137" s="4" t="n">
        <v>19.5</v>
      </c>
    </row>
    <row r="138" customFormat="false" ht="15" hidden="false" customHeight="false" outlineLevel="0" collapsed="false">
      <c r="A138" s="2" t="n">
        <v>46246</v>
      </c>
      <c r="B138" s="3" t="s">
        <v>21</v>
      </c>
      <c r="C138" s="3" t="s">
        <v>13</v>
      </c>
      <c r="D138" s="3" t="n">
        <v>3</v>
      </c>
      <c r="E138" s="4" t="n">
        <v>18.5</v>
      </c>
      <c r="F138" s="4" t="n">
        <v>55.5</v>
      </c>
    </row>
    <row r="139" customFormat="false" ht="15" hidden="false" customHeight="false" outlineLevel="0" collapsed="false">
      <c r="A139" s="2" t="n">
        <v>46246</v>
      </c>
      <c r="B139" s="3" t="s">
        <v>15</v>
      </c>
      <c r="C139" s="3" t="s">
        <v>13</v>
      </c>
      <c r="D139" s="3" t="n">
        <v>1</v>
      </c>
      <c r="E139" s="4" t="n">
        <v>18.5</v>
      </c>
      <c r="F139" s="4" t="n">
        <v>18.5</v>
      </c>
    </row>
    <row r="140" customFormat="false" ht="15" hidden="false" customHeight="false" outlineLevel="0" collapsed="false">
      <c r="A140" s="2" t="n">
        <v>46247</v>
      </c>
      <c r="B140" s="3" t="s">
        <v>11</v>
      </c>
      <c r="C140" s="3" t="s">
        <v>16</v>
      </c>
      <c r="D140" s="3" t="n">
        <v>1</v>
      </c>
      <c r="E140" s="4" t="n">
        <v>24.9</v>
      </c>
      <c r="F140" s="4" t="n">
        <v>24.9</v>
      </c>
    </row>
    <row r="141" customFormat="false" ht="15" hidden="false" customHeight="false" outlineLevel="0" collapsed="false">
      <c r="A141" s="2" t="n">
        <v>46248</v>
      </c>
      <c r="B141" s="3" t="s">
        <v>22</v>
      </c>
      <c r="C141" s="3" t="s">
        <v>13</v>
      </c>
      <c r="D141" s="3" t="n">
        <v>2</v>
      </c>
      <c r="E141" s="4" t="n">
        <v>18.5</v>
      </c>
      <c r="F141" s="4" t="n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5" t="s">
        <v>25</v>
      </c>
      <c r="B1" s="5"/>
    </row>
    <row r="3" customFormat="false" ht="15" hidden="false" customHeight="false" outlineLevel="0" collapsed="false">
      <c r="A3" s="6" t="s">
        <v>26</v>
      </c>
      <c r="B3" s="6" t="s">
        <v>27</v>
      </c>
    </row>
    <row r="4" customFormat="false" ht="15" hidden="false" customHeight="false" outlineLevel="0" collapsed="false">
      <c r="A4" s="3" t="s">
        <v>28</v>
      </c>
      <c r="B4" s="4" t="n">
        <f aca="false">SUM('Datos Limpios'!$F$2:$F$141)</f>
        <v>3579.51</v>
      </c>
    </row>
    <row r="5" customFormat="false" ht="15" hidden="false" customHeight="false" outlineLevel="0" collapsed="false">
      <c r="A5" s="3" t="s">
        <v>29</v>
      </c>
      <c r="B5" s="7" t="n">
        <f aca="false">COUNTA('Datos Limpios'!$F$2:$F$141)</f>
        <v>140</v>
      </c>
    </row>
    <row r="6" customFormat="false" ht="15" hidden="false" customHeight="false" outlineLevel="0" collapsed="false">
      <c r="A6" s="3" t="s">
        <v>30</v>
      </c>
      <c r="B6" s="4" t="n">
        <f aca="false">AVERAGE('Datos Limpios'!$F$2:$F$141)</f>
        <v>25.5679285714286</v>
      </c>
    </row>
    <row r="7" customFormat="false" ht="15" hidden="false" customHeight="false" outlineLevel="0" collapsed="false">
      <c r="A7" s="3" t="s">
        <v>31</v>
      </c>
      <c r="B7" s="7" t="n">
        <f aca="false">SUM('Datos Limpios'!$D$2:$D$141)</f>
        <v>212</v>
      </c>
    </row>
    <row r="9" customFormat="false" ht="15" hidden="false" customHeight="false" outlineLevel="0" collapsed="false">
      <c r="A9" s="6" t="s">
        <v>2</v>
      </c>
      <c r="B9" s="6" t="s">
        <v>32</v>
      </c>
      <c r="C9" s="6" t="s">
        <v>33</v>
      </c>
    </row>
    <row r="10" customFormat="false" ht="15" hidden="false" customHeight="false" outlineLevel="0" collapsed="false">
      <c r="A10" s="3" t="s">
        <v>16</v>
      </c>
      <c r="B10" s="4" t="n">
        <f aca="false">SUMIF('Datos Limpios'!$C$2:$C$141,A10,'Datos Limpios'!$F$2:$F$141)</f>
        <v>692.51</v>
      </c>
      <c r="C10" s="3" t="n">
        <f aca="false">SUMIF('Datos Limpios'!$C$2:$C$141,A10,'Datos Limpios'!$D$2:$D$141)</f>
        <v>28</v>
      </c>
    </row>
    <row r="11" customFormat="false" ht="15" hidden="false" customHeight="false" outlineLevel="0" collapsed="false">
      <c r="A11" s="3" t="s">
        <v>9</v>
      </c>
      <c r="B11" s="4" t="n">
        <f aca="false">SUMIF('Datos Limpios'!$C$2:$C$141,A11,'Datos Limpios'!$F$2:$F$141)</f>
        <v>849.25</v>
      </c>
      <c r="C11" s="3" t="n">
        <f aca="false">SUMIF('Datos Limpios'!$C$2:$C$141,A11,'Datos Limpios'!$D$2:$D$141)</f>
        <v>39</v>
      </c>
    </row>
    <row r="12" customFormat="false" ht="15" hidden="false" customHeight="false" outlineLevel="0" collapsed="false">
      <c r="A12" s="3" t="s">
        <v>10</v>
      </c>
      <c r="B12" s="4" t="n">
        <f aca="false">SUMIF('Datos Limpios'!$C$2:$C$141,A12,'Datos Limpios'!$F$2:$F$141)</f>
        <v>144</v>
      </c>
      <c r="C12" s="3" t="n">
        <f aca="false">SUMIF('Datos Limpios'!$C$2:$C$141,A12,'Datos Limpios'!$D$2:$D$141)</f>
        <v>19</v>
      </c>
    </row>
    <row r="13" customFormat="false" ht="15" hidden="false" customHeight="false" outlineLevel="0" collapsed="false">
      <c r="A13" s="3" t="s">
        <v>20</v>
      </c>
      <c r="B13" s="4" t="n">
        <f aca="false">SUMIF('Datos Limpios'!$C$2:$C$141,A13,'Datos Limpios'!$F$2:$F$141)</f>
        <v>255.24</v>
      </c>
      <c r="C13" s="3" t="n">
        <f aca="false">SUMIF('Datos Limpios'!$C$2:$C$141,A13,'Datos Limpios'!$D$2:$D$141)</f>
        <v>26</v>
      </c>
    </row>
    <row r="14" customFormat="false" ht="15" hidden="false" customHeight="false" outlineLevel="0" collapsed="false">
      <c r="A14" s="3" t="s">
        <v>14</v>
      </c>
      <c r="B14" s="4" t="n">
        <f aca="false">SUMIF('Datos Limpios'!$C$2:$C$141,A14,'Datos Limpios'!$F$2:$F$141)</f>
        <v>220.21</v>
      </c>
      <c r="C14" s="3" t="n">
        <f aca="false">SUMIF('Datos Limpios'!$C$2:$C$141,A14,'Datos Limpios'!$D$2:$D$141)</f>
        <v>18</v>
      </c>
    </row>
    <row r="15" customFormat="false" ht="15" hidden="false" customHeight="false" outlineLevel="0" collapsed="false">
      <c r="A15" s="3" t="s">
        <v>7</v>
      </c>
      <c r="B15" s="4" t="n">
        <f aca="false">SUMIF('Datos Limpios'!$C$2:$C$141,A15,'Datos Limpios'!$F$2:$F$141)</f>
        <v>299.85</v>
      </c>
      <c r="C15" s="3" t="n">
        <f aca="false">SUMIF('Datos Limpios'!$C$2:$C$141,A15,'Datos Limpios'!$D$2:$D$141)</f>
        <v>15</v>
      </c>
    </row>
    <row r="16" customFormat="false" ht="15" hidden="false" customHeight="false" outlineLevel="0" collapsed="false">
      <c r="A16" s="3" t="s">
        <v>18</v>
      </c>
      <c r="B16" s="4" t="n">
        <f aca="false">SUMIF('Datos Limpios'!$C$2:$C$141,A16,'Datos Limpios'!$F$2:$F$141)</f>
        <v>179.56</v>
      </c>
      <c r="C16" s="3" t="n">
        <f aca="false">SUMIF('Datos Limpios'!$C$2:$C$141,A16,'Datos Limpios'!$D$2:$D$141)</f>
        <v>16</v>
      </c>
    </row>
    <row r="17" customFormat="false" ht="15" hidden="false" customHeight="false" outlineLevel="0" collapsed="false">
      <c r="A17" s="3" t="s">
        <v>13</v>
      </c>
      <c r="B17" s="4" t="n">
        <f aca="false">SUMIF('Datos Limpios'!$C$2:$C$141,A17,'Datos Limpios'!$F$2:$F$141)</f>
        <v>938.89</v>
      </c>
      <c r="C17" s="3" t="n">
        <f aca="false">SUMIF('Datos Limpios'!$C$2:$C$141,A17,'Datos Limpios'!$D$2:$D$141)</f>
        <v>51</v>
      </c>
    </row>
    <row r="19" customFormat="false" ht="15" hidden="false" customHeight="false" outlineLevel="0" collapsed="false">
      <c r="A19" s="8" t="s">
        <v>34</v>
      </c>
      <c r="B19" s="8" t="str">
        <f aca="false">INDEX(A10:A17,MATCH(MAX(B10:B17),B10:B17,0))</f>
        <v>Serum Vitamina C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2026-08-19T03:53:32Z</dcterms:created>
  <dc:creator>openpyxl</dc:creator>
  <dc:description/>
  <dc:language>en-US</dc:language>
  <cp:lastModifiedBy/>
  <dcterms:modified xsi:type="dcterms:W3CDTF">2026-08-19T03:53:39Z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